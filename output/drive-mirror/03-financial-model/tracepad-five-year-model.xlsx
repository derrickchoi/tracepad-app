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ustomer Growth" sheetId="3" state="visible" r:id="rId3"/>
    <sheet xmlns:r="http://schemas.openxmlformats.org/officeDocument/2006/relationships" name="Revenue Model" sheetId="4" state="visible" r:id="rId4"/>
    <sheet xmlns:r="http://schemas.openxmlformats.org/officeDocument/2006/relationships" name="COGS Service Costs" sheetId="5" state="visible" r:id="rId5"/>
    <sheet xmlns:r="http://schemas.openxmlformats.org/officeDocument/2006/relationships" name="Headcount Plan" sheetId="6" state="visible" r:id="rId6"/>
    <sheet xmlns:r="http://schemas.openxmlformats.org/officeDocument/2006/relationships" name="OpEx" sheetId="7" state="visible" r:id="rId7"/>
    <sheet xmlns:r="http://schemas.openxmlformats.org/officeDocument/2006/relationships" name="P&amp;L" sheetId="8" state="visible" r:id="rId8"/>
    <sheet xmlns:r="http://schemas.openxmlformats.org/officeDocument/2006/relationships" name="Cash Runway" sheetId="9" state="visible" r:id="rId9"/>
    <sheet xmlns:r="http://schemas.openxmlformats.org/officeDocument/2006/relationships" name="Pricing &amp; Packaging" sheetId="10" state="visible" r:id="rId10"/>
    <sheet xmlns:r="http://schemas.openxmlformats.org/officeDocument/2006/relationships" name="Scenarios" sheetId="11" state="visible" r:id="rId11"/>
    <sheet xmlns:r="http://schemas.openxmlformats.org/officeDocument/2006/relationships" name="Cha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[Red]($#,##0);-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252B"/>
      </patternFill>
    </fill>
  </fills>
  <borders count="2">
    <border>
      <left/>
      <right/>
      <top/>
      <bottom/>
      <diagonal/>
    </border>
    <border>
      <bottom style="thin">
        <color rgb="00D8D2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 Growth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'Charts'!$B$1:$F$1</f>
            </numRef>
          </cat>
          <val>
            <numRef>
              <f>'Charts'!$C$2:$F$2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Growth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'Charts'!$B$1:$F$1</f>
            </numRef>
          </cat>
          <val>
            <numRef>
              <f>'Charts'!$C$3:$F$3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2026</t>
        </is>
      </c>
      <c r="C1" s="1" t="inlineStr">
        <is>
          <t>2027</t>
        </is>
      </c>
      <c r="D1" s="1" t="inlineStr">
        <is>
          <t>2028</t>
        </is>
      </c>
      <c r="E1" s="1" t="inlineStr">
        <is>
          <t>2029</t>
        </is>
      </c>
      <c r="F1" s="1" t="inlineStr">
        <is>
          <t>2030</t>
        </is>
      </c>
    </row>
    <row r="2">
      <c r="A2" s="2" t="inlineStr">
        <is>
          <t>Customers</t>
        </is>
      </c>
      <c r="B2" s="3" t="n">
        <v>28</v>
      </c>
      <c r="C2" s="3" t="n">
        <v>86</v>
      </c>
      <c r="D2" s="3" t="n">
        <v>205</v>
      </c>
      <c r="E2" s="3" t="n">
        <v>430</v>
      </c>
      <c r="F2" s="3" t="n">
        <v>760</v>
      </c>
    </row>
    <row r="3">
      <c r="A3" s="2" t="inlineStr">
        <is>
          <t>Active seats</t>
        </is>
      </c>
      <c r="B3" s="3" t="n">
        <v>126</v>
      </c>
      <c r="C3" s="3" t="n">
        <v>430</v>
      </c>
      <c r="D3" s="3" t="n">
        <v>1230</v>
      </c>
      <c r="E3" s="3" t="n">
        <v>3010</v>
      </c>
      <c r="F3" s="3" t="n">
        <v>6080</v>
      </c>
    </row>
    <row r="4">
      <c r="A4" s="2" t="inlineStr">
        <is>
          <t>ARR</t>
        </is>
      </c>
      <c r="B4" s="4" t="n">
        <v>125000</v>
      </c>
      <c r="C4" s="4" t="n">
        <v>520000</v>
      </c>
      <c r="D4" s="4" t="n">
        <v>1590000</v>
      </c>
      <c r="E4" s="4" t="n">
        <v>4080000</v>
      </c>
      <c r="F4" s="4" t="n">
        <v>8320000</v>
      </c>
    </row>
    <row r="5">
      <c r="A5" s="2" t="inlineStr">
        <is>
          <t>Gross margin</t>
        </is>
      </c>
      <c r="B5" s="5" t="n">
        <v>0.63</v>
      </c>
      <c r="C5" s="5" t="n">
        <v>0.68</v>
      </c>
      <c r="D5" s="5" t="n">
        <v>0.73</v>
      </c>
      <c r="E5" s="5" t="n">
        <v>0.77</v>
      </c>
      <c r="F5" s="5" t="n">
        <v>0.79</v>
      </c>
    </row>
    <row r="6">
      <c r="A6" s="2" t="inlineStr">
        <is>
          <t>Ending cash</t>
        </is>
      </c>
      <c r="B6" s="4" t="n">
        <v>1120000</v>
      </c>
      <c r="C6" s="4" t="n">
        <v>410000</v>
      </c>
      <c r="D6" s="4" t="n">
        <v>-260000</v>
      </c>
      <c r="E6" s="4" t="n">
        <v>1040000</v>
      </c>
      <c r="F6" s="4" t="n">
        <v>3020000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44" customWidth="1" min="4" max="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s="2" t="inlineStr">
        <is>
          <t>Solo price</t>
        </is>
      </c>
      <c r="B2" s="2" t="n">
        <v>69</v>
      </c>
      <c r="C2" s="2" t="inlineStr">
        <is>
          <t>$ / count / %</t>
        </is>
      </c>
      <c r="D2" s="2" t="inlineStr">
        <is>
          <t>Canonical prompt-aligned assumption</t>
        </is>
      </c>
    </row>
    <row r="3">
      <c r="A3" s="2" t="inlineStr">
        <is>
          <t>Team price</t>
        </is>
      </c>
      <c r="B3" s="2" t="n">
        <v>249</v>
      </c>
      <c r="C3" s="2" t="inlineStr">
        <is>
          <t>$ / count / %</t>
        </is>
      </c>
      <c r="D3" s="2" t="inlineStr">
        <is>
          <t>Canonical prompt-aligned assumption</t>
        </is>
      </c>
    </row>
    <row r="4">
      <c r="A4" s="2" t="inlineStr">
        <is>
          <t>Business price</t>
        </is>
      </c>
      <c r="B4" s="2" t="n">
        <v>599</v>
      </c>
      <c r="C4" s="2" t="inlineStr">
        <is>
          <t>$ / count / %</t>
        </is>
      </c>
      <c r="D4" s="2" t="inlineStr">
        <is>
          <t>Canonical prompt-aligned assumption</t>
        </is>
      </c>
    </row>
    <row r="5">
      <c r="A5" s="2" t="inlineStr">
        <is>
          <t>Starting customers</t>
        </is>
      </c>
      <c r="B5" s="2" t="n">
        <v>9</v>
      </c>
      <c r="C5" s="2" t="inlineStr">
        <is>
          <t>$ / count / %</t>
        </is>
      </c>
      <c r="D5" s="2" t="inlineStr">
        <is>
          <t>Canonical prompt-aligned assumption</t>
        </is>
      </c>
    </row>
    <row r="6">
      <c r="A6" s="2" t="inlineStr">
        <is>
          <t>Starting seats</t>
        </is>
      </c>
      <c r="B6" s="2" t="n">
        <v>42</v>
      </c>
      <c r="C6" s="2" t="inlineStr">
        <is>
          <t>$ / count / %</t>
        </is>
      </c>
      <c r="D6" s="2" t="inlineStr">
        <is>
          <t>Canonical prompt-aligned assumption</t>
        </is>
      </c>
    </row>
    <row r="7">
      <c r="A7" s="2" t="inlineStr">
        <is>
          <t>Starting MRR</t>
        </is>
      </c>
      <c r="B7" s="2" t="n">
        <v>3200</v>
      </c>
      <c r="C7" s="2" t="inlineStr">
        <is>
          <t>$ / count / %</t>
        </is>
      </c>
      <c r="D7" s="2" t="inlineStr">
        <is>
          <t>Canonical prompt-aligned assumption</t>
        </is>
      </c>
    </row>
    <row r="8">
      <c r="A8" s="2" t="inlineStr">
        <is>
          <t>Seed raise</t>
        </is>
      </c>
      <c r="B8" s="2" t="n">
        <v>1500000</v>
      </c>
      <c r="C8" s="2" t="inlineStr">
        <is>
          <t>$ / count / %</t>
        </is>
      </c>
      <c r="D8" s="2" t="inlineStr">
        <is>
          <t>Canonical prompt-aligned assumption</t>
        </is>
      </c>
    </row>
    <row r="9">
      <c r="A9" s="2" t="inlineStr">
        <is>
          <t>Gross margin target</t>
        </is>
      </c>
      <c r="B9" s="2" t="n">
        <v>0.76</v>
      </c>
      <c r="C9" s="2" t="inlineStr">
        <is>
          <t>$ / count / %</t>
        </is>
      </c>
      <c r="D9" s="2" t="inlineStr">
        <is>
          <t>Canonical prompt-aligned assumption</t>
        </is>
      </c>
    </row>
    <row r="10">
      <c r="A10" s="2" t="inlineStr">
        <is>
          <t>Monthly logo churn</t>
        </is>
      </c>
      <c r="B10" s="2" t="n">
        <v>0.025</v>
      </c>
      <c r="C10" s="2" t="inlineStr">
        <is>
          <t>$ / count / %</t>
        </is>
      </c>
      <c r="D10" s="2" t="inlineStr">
        <is>
          <t>Canonical prompt-aligned assumption</t>
        </is>
      </c>
    </row>
    <row r="11">
      <c r="A11" s="2" t="inlineStr">
        <is>
          <t>AI cost per active seat</t>
        </is>
      </c>
      <c r="B11" s="2" t="n">
        <v>8</v>
      </c>
      <c r="C11" s="2" t="inlineStr">
        <is>
          <t>$ / count / %</t>
        </is>
      </c>
      <c r="D11" s="2" t="inlineStr">
        <is>
          <t>Canonical prompt-aligned assumption</t>
        </is>
      </c>
    </row>
    <row r="12">
      <c r="A12" s="2" t="inlineStr">
        <is>
          <t>Storage cost per active seat</t>
        </is>
      </c>
      <c r="B12" s="2" t="n">
        <v>2</v>
      </c>
      <c r="C12" s="2" t="inlineStr">
        <is>
          <t>$ / count / %</t>
        </is>
      </c>
      <c r="D12" s="2" t="inlineStr">
        <is>
          <t>Canonical prompt-aligned 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Line item</t>
        </is>
      </c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</row>
    <row r="2">
      <c r="A2" s="2" t="inlineStr">
        <is>
          <t>Beginning customers</t>
        </is>
      </c>
      <c r="B2" s="3" t="n">
        <v>9</v>
      </c>
      <c r="C2" s="3" t="n">
        <v>28</v>
      </c>
      <c r="D2" s="3" t="n">
        <v>86</v>
      </c>
      <c r="E2" s="3" t="n">
        <v>205</v>
      </c>
      <c r="F2" s="3" t="n">
        <v>430</v>
      </c>
    </row>
    <row r="3">
      <c r="A3" s="2" t="inlineStr">
        <is>
          <t>New customers</t>
        </is>
      </c>
      <c r="B3" s="3" t="n">
        <v>21</v>
      </c>
      <c r="C3" s="3" t="n">
        <v>66</v>
      </c>
      <c r="D3" s="3" t="n">
        <v>142</v>
      </c>
      <c r="E3" s="3" t="n">
        <v>276</v>
      </c>
      <c r="F3" s="3" t="n">
        <v>432</v>
      </c>
    </row>
    <row r="4">
      <c r="A4" s="2" t="inlineStr">
        <is>
          <t>Logo churn</t>
        </is>
      </c>
      <c r="B4" s="3" t="n">
        <v>-2</v>
      </c>
      <c r="C4" s="3" t="n">
        <v>-8</v>
      </c>
      <c r="D4" s="3" t="n">
        <v>-23</v>
      </c>
      <c r="E4" s="3" t="n">
        <v>-51</v>
      </c>
      <c r="F4" s="3" t="n">
        <v>-102</v>
      </c>
    </row>
    <row r="5">
      <c r="A5" s="2" t="inlineStr">
        <is>
          <t>Ending customers</t>
        </is>
      </c>
      <c r="B5" s="3">
        <f>B2+B3+B4</f>
        <v/>
      </c>
      <c r="C5" s="3">
        <f>C2+C3+C4</f>
        <v/>
      </c>
      <c r="D5" s="3">
        <f>D2+D3+D4</f>
        <v/>
      </c>
      <c r="E5" s="3">
        <f>E2+E3+E4</f>
        <v/>
      </c>
      <c r="F5" s="3">
        <f>F2+F3+F4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Line item</t>
        </is>
      </c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</row>
    <row r="2">
      <c r="A2" s="2" t="inlineStr">
        <is>
          <t>Subscription revenue</t>
        </is>
      </c>
      <c r="B2" s="4" t="n">
        <v>88000</v>
      </c>
      <c r="C2" s="4" t="n">
        <v>390000</v>
      </c>
      <c r="D2" s="4" t="n">
        <v>1210000</v>
      </c>
      <c r="E2" s="4" t="n">
        <v>3150000</v>
      </c>
      <c r="F2" s="4" t="n">
        <v>6500000</v>
      </c>
    </row>
    <row r="3">
      <c r="A3" s="2" t="inlineStr">
        <is>
          <t>Usage expansion</t>
        </is>
      </c>
      <c r="B3" s="4" t="n">
        <v>9000</v>
      </c>
      <c r="C3" s="4" t="n">
        <v>54000</v>
      </c>
      <c r="D3" s="4" t="n">
        <v>210000</v>
      </c>
      <c r="E3" s="4" t="n">
        <v>620000</v>
      </c>
      <c r="F3" s="4" t="n">
        <v>1320000</v>
      </c>
    </row>
    <row r="4">
      <c r="A4" s="2" t="inlineStr">
        <is>
          <t>Setup / onboarding</t>
        </is>
      </c>
      <c r="B4" s="4" t="n">
        <v>28000</v>
      </c>
      <c r="C4" s="4" t="n">
        <v>76000</v>
      </c>
      <c r="D4" s="4" t="n">
        <v>170000</v>
      </c>
      <c r="E4" s="4" t="n">
        <v>310000</v>
      </c>
      <c r="F4" s="4" t="n">
        <v>500000</v>
      </c>
    </row>
    <row r="5">
      <c r="A5" s="2" t="inlineStr">
        <is>
          <t>Total revenue</t>
        </is>
      </c>
      <c r="B5" s="4">
        <f>SUM(B2:B4)</f>
        <v/>
      </c>
      <c r="C5" s="4">
        <f>SUM(C2:C4)</f>
        <v/>
      </c>
      <c r="D5" s="4">
        <f>SUM(D2:D4)</f>
        <v/>
      </c>
      <c r="E5" s="4">
        <f>SUM(E2:E4)</f>
        <v/>
      </c>
      <c r="F5" s="4">
        <f>SUM(F2:F4)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Line item</t>
        </is>
      </c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</row>
    <row r="2">
      <c r="A2" s="2" t="inlineStr">
        <is>
          <t>AI inference</t>
        </is>
      </c>
      <c r="B2" s="4" t="n">
        <v>21000</v>
      </c>
      <c r="C2" s="4" t="n">
        <v>81000</v>
      </c>
      <c r="D2" s="4" t="n">
        <v>238000</v>
      </c>
      <c r="E2" s="4" t="n">
        <v>570000</v>
      </c>
      <c r="F2" s="4" t="n">
        <v>1130000</v>
      </c>
    </row>
    <row r="3">
      <c r="A3" s="2" t="inlineStr">
        <is>
          <t>Storage and hosting</t>
        </is>
      </c>
      <c r="B3" s="4" t="n">
        <v>15000</v>
      </c>
      <c r="C3" s="4" t="n">
        <v>52000</v>
      </c>
      <c r="D3" s="4" t="n">
        <v>150000</v>
      </c>
      <c r="E3" s="4" t="n">
        <v>350000</v>
      </c>
      <c r="F3" s="4" t="n">
        <v>710000</v>
      </c>
    </row>
    <row r="4">
      <c r="A4" s="2" t="inlineStr">
        <is>
          <t>Support and onboarding</t>
        </is>
      </c>
      <c r="B4" s="4" t="n">
        <v>10000</v>
      </c>
      <c r="C4" s="4" t="n">
        <v>35000</v>
      </c>
      <c r="D4" s="4" t="n">
        <v>98000</v>
      </c>
      <c r="E4" s="4" t="n">
        <v>210000</v>
      </c>
      <c r="F4" s="4" t="n">
        <v>420000</v>
      </c>
    </row>
    <row r="5">
      <c r="A5" s="2" t="inlineStr">
        <is>
          <t>Total COGS</t>
        </is>
      </c>
      <c r="B5" s="4">
        <f>SUM(B2:B4)</f>
        <v/>
      </c>
      <c r="C5" s="4">
        <f>SUM(C2:C4)</f>
        <v/>
      </c>
      <c r="D5" s="4">
        <f>SUM(D2:D4)</f>
        <v/>
      </c>
      <c r="E5" s="4">
        <f>SUM(E2:E4)</f>
        <v/>
      </c>
      <c r="F5" s="4">
        <f>SUM(F2:F4)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Line item</t>
        </is>
      </c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</row>
    <row r="2">
      <c r="A2" s="2" t="inlineStr">
        <is>
          <t>Founder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</row>
    <row r="3">
      <c r="A3" s="2" t="inlineStr">
        <is>
          <t>Engineering</t>
        </is>
      </c>
      <c r="B3" s="3" t="n">
        <v>1</v>
      </c>
      <c r="C3" s="3" t="n">
        <v>3</v>
      </c>
      <c r="D3" s="3" t="n">
        <v>6</v>
      </c>
      <c r="E3" s="3" t="n">
        <v>10</v>
      </c>
      <c r="F3" s="3" t="n">
        <v>16</v>
      </c>
    </row>
    <row r="4">
      <c r="A4" s="2" t="inlineStr">
        <is>
          <t>Product/design</t>
        </is>
      </c>
      <c r="B4" s="3" t="n">
        <v>1</v>
      </c>
      <c r="C4" s="3" t="n">
        <v>2</v>
      </c>
      <c r="D4" s="3" t="n">
        <v>3</v>
      </c>
      <c r="E4" s="3" t="n">
        <v>5</v>
      </c>
      <c r="F4" s="3" t="n">
        <v>8</v>
      </c>
    </row>
    <row r="5">
      <c r="A5" s="2" t="inlineStr">
        <is>
          <t>GTM/support</t>
        </is>
      </c>
      <c r="B5" s="3" t="n">
        <v>1</v>
      </c>
      <c r="C5" s="3" t="n">
        <v>2</v>
      </c>
      <c r="D5" s="3" t="n">
        <v>5</v>
      </c>
      <c r="E5" s="3" t="n">
        <v>10</v>
      </c>
      <c r="F5" s="3" t="n">
        <v>18</v>
      </c>
    </row>
    <row r="6">
      <c r="A6" s="2" t="inlineStr">
        <is>
          <t>Total FTE</t>
        </is>
      </c>
      <c r="B6" s="3">
        <f>SUM(B2:B5)</f>
        <v/>
      </c>
      <c r="C6" s="3">
        <f>SUM(C2:C5)</f>
        <v/>
      </c>
      <c r="D6" s="3">
        <f>SUM(D2:D5)</f>
        <v/>
      </c>
      <c r="E6" s="3">
        <f>SUM(E2:E5)</f>
        <v/>
      </c>
      <c r="F6" s="3">
        <f>SUM(F2:F5)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Line item</t>
        </is>
      </c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</row>
    <row r="2">
      <c r="A2" s="2" t="inlineStr">
        <is>
          <t>Payroll</t>
        </is>
      </c>
      <c r="B2" s="4" t="n">
        <v>420000</v>
      </c>
      <c r="C2" s="4" t="n">
        <v>980000</v>
      </c>
      <c r="D2" s="4" t="n">
        <v>1850000</v>
      </c>
      <c r="E2" s="4" t="n">
        <v>3350000</v>
      </c>
      <c r="F2" s="4" t="n">
        <v>5550000</v>
      </c>
    </row>
    <row r="3">
      <c r="A3" s="2" t="inlineStr">
        <is>
          <t>Marketing</t>
        </is>
      </c>
      <c r="B3" s="4" t="n">
        <v>90000</v>
      </c>
      <c r="C3" s="4" t="n">
        <v>260000</v>
      </c>
      <c r="D3" s="4" t="n">
        <v>620000</v>
      </c>
      <c r="E3" s="4" t="n">
        <v>1200000</v>
      </c>
      <c r="F3" s="4" t="n">
        <v>2200000</v>
      </c>
    </row>
    <row r="4">
      <c r="A4" s="2" t="inlineStr">
        <is>
          <t>G&amp;A / tools</t>
        </is>
      </c>
      <c r="B4" s="4" t="n">
        <v>85000</v>
      </c>
      <c r="C4" s="4" t="n">
        <v>150000</v>
      </c>
      <c r="D4" s="4" t="n">
        <v>260000</v>
      </c>
      <c r="E4" s="4" t="n">
        <v>430000</v>
      </c>
      <c r="F4" s="4" t="n">
        <v>710000</v>
      </c>
    </row>
    <row r="5">
      <c r="A5" s="2" t="inlineStr">
        <is>
          <t>Total OpEx</t>
        </is>
      </c>
      <c r="B5" s="4">
        <f>SUM(B2:B4)</f>
        <v/>
      </c>
      <c r="C5" s="4">
        <f>SUM(C2:C4)</f>
        <v/>
      </c>
      <c r="D5" s="4">
        <f>SUM(D2:D4)</f>
        <v/>
      </c>
      <c r="E5" s="4">
        <f>SUM(E2:E4)</f>
        <v/>
      </c>
      <c r="F5" s="4">
        <f>SUM(F2:F4)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Line item</t>
        </is>
      </c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</row>
    <row r="2">
      <c r="A2" s="2" t="inlineStr">
        <is>
          <t>Revenue</t>
        </is>
      </c>
      <c r="B2" s="4">
        <f>'Revenue Model'!B5</f>
        <v/>
      </c>
      <c r="C2" s="4">
        <f>'Revenue Model'!C5</f>
        <v/>
      </c>
      <c r="D2" s="4">
        <f>'Revenue Model'!D5</f>
        <v/>
      </c>
      <c r="E2" s="4">
        <f>'Revenue Model'!E5</f>
        <v/>
      </c>
      <c r="F2" s="4">
        <f>'Revenue Model'!F5</f>
        <v/>
      </c>
    </row>
    <row r="3">
      <c r="A3" s="2" t="inlineStr">
        <is>
          <t>COGS</t>
        </is>
      </c>
      <c r="B3" s="4">
        <f>'COGS Service Costs'!B5</f>
        <v/>
      </c>
      <c r="C3" s="4">
        <f>'COGS Service Costs'!C5</f>
        <v/>
      </c>
      <c r="D3" s="4">
        <f>'COGS Service Costs'!D5</f>
        <v/>
      </c>
      <c r="E3" s="4">
        <f>'COGS Service Costs'!E5</f>
        <v/>
      </c>
      <c r="F3" s="4">
        <f>'COGS Service Costs'!F5</f>
        <v/>
      </c>
    </row>
    <row r="4">
      <c r="A4" s="2" t="inlineStr">
        <is>
          <t>Gross profit</t>
        </is>
      </c>
      <c r="B4" s="4">
        <f>B2-B3</f>
        <v/>
      </c>
      <c r="C4" s="4">
        <f>C2-C3</f>
        <v/>
      </c>
      <c r="D4" s="4">
        <f>D2-D3</f>
        <v/>
      </c>
      <c r="E4" s="4">
        <f>E2-E3</f>
        <v/>
      </c>
      <c r="F4" s="4">
        <f>F2-F3</f>
        <v/>
      </c>
    </row>
    <row r="5">
      <c r="A5" s="2" t="inlineStr">
        <is>
          <t>OpEx</t>
        </is>
      </c>
      <c r="B5" s="4">
        <f>'OpEx'!B5</f>
        <v/>
      </c>
      <c r="C5" s="4">
        <f>'OpEx'!C5</f>
        <v/>
      </c>
      <c r="D5" s="4">
        <f>'OpEx'!D5</f>
        <v/>
      </c>
      <c r="E5" s="4">
        <f>'OpEx'!E5</f>
        <v/>
      </c>
      <c r="F5" s="4">
        <f>'OpEx'!F5</f>
        <v/>
      </c>
    </row>
    <row r="6">
      <c r="A6" s="2" t="inlineStr">
        <is>
          <t>Net income</t>
        </is>
      </c>
      <c r="B6" s="4">
        <f>B4-B5</f>
        <v/>
      </c>
      <c r="C6" s="4">
        <f>C4-C5</f>
        <v/>
      </c>
      <c r="D6" s="4">
        <f>D4-D5</f>
        <v/>
      </c>
      <c r="E6" s="4">
        <f>E4-E5</f>
        <v/>
      </c>
      <c r="F6" s="4">
        <f>F4-F5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Line item</t>
        </is>
      </c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</row>
    <row r="2">
      <c r="A2" s="2" t="inlineStr">
        <is>
          <t>Opening cash</t>
        </is>
      </c>
      <c r="B2" s="4" t="n">
        <v>1500000</v>
      </c>
      <c r="C2" s="4">
        <f>B5</f>
        <v/>
      </c>
      <c r="D2" s="4">
        <f>C5</f>
        <v/>
      </c>
      <c r="E2" s="4">
        <f>D5+1500000</f>
        <v/>
      </c>
      <c r="F2" s="4">
        <f>E5</f>
        <v/>
      </c>
    </row>
    <row r="3">
      <c r="A3" s="2" t="inlineStr">
        <is>
          <t>Net income</t>
        </is>
      </c>
      <c r="B3" s="4">
        <f>'P&amp;L'!B6</f>
        <v/>
      </c>
      <c r="C3" s="4">
        <f>'P&amp;L'!C6</f>
        <v/>
      </c>
      <c r="D3" s="4">
        <f>'P&amp;L'!D6</f>
        <v/>
      </c>
      <c r="E3" s="4">
        <f>'P&amp;L'!E6</f>
        <v/>
      </c>
      <c r="F3" s="4">
        <f>'P&amp;L'!F6</f>
        <v/>
      </c>
    </row>
    <row r="4">
      <c r="A4" s="2" t="inlineStr">
        <is>
          <t>Financing</t>
        </is>
      </c>
      <c r="B4" s="4" t="n">
        <v>0</v>
      </c>
      <c r="C4" s="4" t="n">
        <v>0</v>
      </c>
      <c r="D4" s="4" t="n">
        <v>0</v>
      </c>
      <c r="E4" s="4" t="n">
        <v>1500000</v>
      </c>
      <c r="F4" s="4" t="n">
        <v>0</v>
      </c>
    </row>
    <row r="5">
      <c r="A5" s="2" t="inlineStr">
        <is>
          <t>Ending cash</t>
        </is>
      </c>
      <c r="B5" s="4">
        <f>B2+B3+B4</f>
        <v/>
      </c>
      <c r="C5" s="4">
        <f>C2+C3+C4</f>
        <v/>
      </c>
      <c r="D5" s="4">
        <f>D2+D3+D4</f>
        <v/>
      </c>
      <c r="E5" s="4">
        <f>E2+E3+E4</f>
        <v/>
      </c>
      <c r="F5" s="4">
        <f>F2+F3+F4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46" customWidth="1" min="4" max="4"/>
  </cols>
  <sheetData>
    <row r="1">
      <c r="A1" s="1" t="inlineStr">
        <is>
          <t>Plan</t>
        </is>
      </c>
      <c r="B1" s="1" t="inlineStr">
        <is>
          <t>Monthly price</t>
        </is>
      </c>
      <c r="C1" s="1" t="inlineStr">
        <is>
          <t>Primary buyer</t>
        </is>
      </c>
      <c r="D1" s="1" t="inlineStr">
        <is>
          <t>Included</t>
        </is>
      </c>
    </row>
    <row r="2">
      <c r="A2" s="2" t="inlineStr">
        <is>
          <t>Solo</t>
        </is>
      </c>
      <c r="B2" s="2" t="n">
        <v>69</v>
      </c>
      <c r="C2" s="2" t="inlineStr">
        <is>
          <t>Independent consultant</t>
        </is>
      </c>
      <c r="D2" s="2" t="inlineStr">
        <is>
          <t>Capture, 10 projects, report drafts</t>
        </is>
      </c>
    </row>
    <row r="3">
      <c r="A3" s="2" t="inlineStr">
        <is>
          <t>Team</t>
        </is>
      </c>
      <c r="B3" s="2" t="n">
        <v>249</v>
      </c>
      <c r="C3" s="2" t="inlineStr">
        <is>
          <t>Small service team</t>
        </is>
      </c>
      <c r="D3" s="2" t="inlineStr">
        <is>
          <t>Shared workspace, templates, portal</t>
        </is>
      </c>
    </row>
    <row r="4">
      <c r="A4" s="2" t="inlineStr">
        <is>
          <t>Business</t>
        </is>
      </c>
      <c r="B4" s="2" t="n">
        <v>599</v>
      </c>
      <c r="C4" s="2" t="inlineStr">
        <is>
          <t>Higher-volume operator</t>
        </is>
      </c>
      <c r="D4" s="2" t="inlineStr">
        <is>
          <t>Priority onboarding, usage expansion, admin controls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Scenario</t>
        </is>
      </c>
      <c r="B1" s="1" t="inlineStr">
        <is>
          <t>2028 ARR</t>
        </is>
      </c>
      <c r="C1" s="1" t="inlineStr">
        <is>
          <t>Gross margin</t>
        </is>
      </c>
      <c r="D1" s="1" t="inlineStr">
        <is>
          <t>Runway note</t>
        </is>
      </c>
    </row>
    <row r="2">
      <c r="A2" s="2" t="inlineStr">
        <is>
          <t>Conservative</t>
        </is>
      </c>
      <c r="B2" s="2" t="n">
        <v>980000</v>
      </c>
      <c r="C2" s="2" t="n">
        <v>0.68</v>
      </c>
      <c r="D2" s="2" t="inlineStr">
        <is>
          <t>Need bridge before 2029</t>
        </is>
      </c>
    </row>
    <row r="3">
      <c r="A3" s="2" t="inlineStr">
        <is>
          <t>Base</t>
        </is>
      </c>
      <c r="B3" s="2" t="n">
        <v>1590000</v>
      </c>
      <c r="C3" s="2" t="n">
        <v>0.73</v>
      </c>
      <c r="D3" s="2" t="inlineStr">
        <is>
          <t>Raise after traction inflection</t>
        </is>
      </c>
    </row>
    <row r="4">
      <c r="A4" s="2" t="inlineStr">
        <is>
          <t>Aggressive</t>
        </is>
      </c>
      <c r="B4" s="2" t="n">
        <v>2450000</v>
      </c>
      <c r="C4" s="2" t="n">
        <v>0.77</v>
      </c>
      <c r="D4" s="2" t="inlineStr">
        <is>
          <t>Can support larger seed extension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Year</t>
        </is>
      </c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</row>
    <row r="2">
      <c r="A2" s="2" t="inlineStr">
        <is>
          <t>ARR</t>
        </is>
      </c>
      <c r="B2" s="2" t="n">
        <v>125000</v>
      </c>
      <c r="C2" s="2" t="n">
        <v>520000</v>
      </c>
      <c r="D2" s="2" t="n">
        <v>1590000</v>
      </c>
      <c r="E2" s="2" t="n">
        <v>4080000</v>
      </c>
      <c r="F2" s="2" t="n">
        <v>8320000</v>
      </c>
    </row>
    <row r="3">
      <c r="A3" s="2" t="inlineStr">
        <is>
          <t>Customers</t>
        </is>
      </c>
      <c r="B3" s="2" t="n">
        <v>28</v>
      </c>
      <c r="C3" s="2" t="n">
        <v>86</v>
      </c>
      <c r="D3" s="2" t="n">
        <v>205</v>
      </c>
      <c r="E3" s="2" t="n">
        <v>430</v>
      </c>
      <c r="F3" s="2" t="n">
        <v>760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2026-04-25T19:20:24Z</dcterms:created>
  <dcterms:modified xmlns:dcterms="http://purl.org/dc/terms/" xmlns:xsi="http://www.w3.org/2001/XMLSchema-instance" xsi:type="dcterms:W3CDTF">2026-04-25T19:20:24Z</dcterms:modified>
</cp:coreProperties>
</file>